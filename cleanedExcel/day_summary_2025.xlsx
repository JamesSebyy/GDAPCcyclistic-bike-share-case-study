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sebybacus/Desktop/Google Data Analytics Professional Certificate/Capstone_Cyclistic/Cyclistic_Data/CyclisticCLEANED/cleanedExcel/"/>
    </mc:Choice>
  </mc:AlternateContent>
  <xr:revisionPtr revIDLastSave="0" documentId="13_ncr:1_{838C9DFF-160A-BA47-976A-2186120A8CC3}" xr6:coauthVersionLast="47" xr6:coauthVersionMax="47" xr10:uidLastSave="{00000000-0000-0000-0000-000000000000}"/>
  <bookViews>
    <workbookView xWindow="0" yWindow="780" windowWidth="41120" windowHeight="25800" xr2:uid="{279BCC88-D510-8246-9F6A-B6647179EBD4}"/>
  </bookViews>
  <sheets>
    <sheet name="day_summary_2025" sheetId="2" r:id="rId1"/>
    <sheet name="Sheet1" sheetId="1" r:id="rId2"/>
  </sheets>
  <definedNames>
    <definedName name="ExternalData_1" localSheetId="0" hidden="1">day_summary_2025!$A$1:$F$15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6" i="2" l="1"/>
  <c r="B23" i="2"/>
  <c r="B22" i="2"/>
  <c r="D18" i="2"/>
  <c r="C18" i="2"/>
  <c r="B25" i="2"/>
  <c r="D19" i="2"/>
  <c r="C1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82494A-2504-3D4F-9FF3-DBA01B2A329D}" keepAlive="1" name="Query - day_summary_2025" description="Connection to the 'day_summary_2025' query in the workbook." type="5" refreshedVersion="8" background="1" saveData="1">
    <dbPr connection="Provider=Microsoft.Mashup.OleDb.1;Data Source=$Workbook$;Location=day_summary_2025;Extended Properties=&quot;&quot;" command="SELECT * FROM [day_summary_2025]"/>
  </connection>
</connections>
</file>

<file path=xl/sharedStrings.xml><?xml version="1.0" encoding="utf-8"?>
<sst xmlns="http://schemas.openxmlformats.org/spreadsheetml/2006/main" count="42" uniqueCount="17">
  <si>
    <t>day_of_week_num</t>
  </si>
  <si>
    <t>day_of_week</t>
  </si>
  <si>
    <t>member_casual</t>
  </si>
  <si>
    <t>total_rides</t>
  </si>
  <si>
    <t>total_ride_minutes</t>
  </si>
  <si>
    <t>avg_ride_length</t>
  </si>
  <si>
    <t>Monday</t>
  </si>
  <si>
    <t>casual</t>
  </si>
  <si>
    <t>member</t>
  </si>
  <si>
    <t>Tuesday</t>
  </si>
  <si>
    <t>Wednesday</t>
  </si>
  <si>
    <t>Thursday</t>
  </si>
  <si>
    <t>Friday</t>
  </si>
  <si>
    <t>Saturday</t>
  </si>
  <si>
    <t>Sunday</t>
  </si>
  <si>
    <t>weekend average usage</t>
  </si>
  <si>
    <t>weekday average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</si>
</sst>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142213-5479-6C47-A5DB-4545EC028B39}" autoFormatId="16" applyNumberFormats="0" applyBorderFormats="0" applyFontFormats="0" applyPatternFormats="0" applyAlignmentFormats="0" applyWidthHeightFormats="0">
  <queryTableRefresh nextId="7">
    <queryTableFields count="6">
      <queryTableField id="1" name="day_of_week_num" tableColumnId="1"/>
      <queryTableField id="2" name="day_of_week" tableColumnId="2"/>
      <queryTableField id="3" name="member_casual" tableColumnId="3"/>
      <queryTableField id="4" name="total_rides" tableColumnId="4"/>
      <queryTableField id="5" name="total_ride_minutes" tableColumnId="5"/>
      <queryTableField id="6" name="avg_ride_leng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92F2E0-F718-3240-A2EF-D6890381B84B}" name="day_summary_2025" displayName="day_summary_2025" ref="A1:F15" tableType="queryTable" totalsRowShown="0">
  <autoFilter ref="A1:F15" xr:uid="{1C92F2E0-F718-3240-A2EF-D6890381B84B}"/>
  <sortState xmlns:xlrd2="http://schemas.microsoft.com/office/spreadsheetml/2017/richdata2" ref="A2:F15">
    <sortCondition descending="1" ref="D1:D15"/>
  </sortState>
  <tableColumns count="6">
    <tableColumn id="1" xr3:uid="{8B5BB51D-9463-D344-8767-B4B2CFDA5DCF}" uniqueName="1" name="day_of_week_num" queryTableFieldId="1"/>
    <tableColumn id="2" xr3:uid="{54FDF81E-F715-DB4D-B981-CFA8A344B20D}" uniqueName="2" name="day_of_week" queryTableFieldId="2" dataDxfId="1"/>
    <tableColumn id="3" xr3:uid="{CF7B81B6-70FA-A641-8425-563CEB7617E2}" uniqueName="3" name="member_casual" queryTableFieldId="3" dataDxfId="0"/>
    <tableColumn id="4" xr3:uid="{70E9AFC4-085E-904E-8669-EB2188551043}" uniqueName="4" name="total_rides" queryTableFieldId="4"/>
    <tableColumn id="5" xr3:uid="{FA926C75-7398-4542-BAE5-99A3E2C39A19}" uniqueName="5" name="total_ride_minutes" queryTableFieldId="5"/>
    <tableColumn id="6" xr3:uid="{2024FDEE-706C-0447-9802-836EC18899FF}" uniqueName="6" name="avg_ride_length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7F81-0C5E-634A-9106-F26758397DA1}">
  <dimension ref="A1:F26"/>
  <sheetViews>
    <sheetView tabSelected="1" zoomScale="217" workbookViewId="0">
      <selection activeCell="B22" sqref="B22"/>
    </sheetView>
  </sheetViews>
  <sheetFormatPr baseColWidth="10" defaultRowHeight="16" x14ac:dyDescent="0.2"/>
  <cols>
    <col min="1" max="1" width="18.83203125" bestFit="1" customWidth="1"/>
    <col min="2" max="2" width="14.1640625" bestFit="1" customWidth="1"/>
    <col min="3" max="3" width="17" bestFit="1" customWidth="1"/>
    <col min="4" max="4" width="12.5" bestFit="1" customWidth="1"/>
    <col min="5" max="5" width="19.33203125" bestFit="1" customWidth="1"/>
    <col min="6" max="6" width="16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4</v>
      </c>
      <c r="B2" s="1" t="s">
        <v>11</v>
      </c>
      <c r="C2" s="1" t="s">
        <v>8</v>
      </c>
      <c r="D2">
        <v>575857</v>
      </c>
      <c r="E2">
        <v>6630880.4368192432</v>
      </c>
      <c r="F2">
        <v>11.514803912810374</v>
      </c>
    </row>
    <row r="3" spans="1:6" x14ac:dyDescent="0.2">
      <c r="A3">
        <v>2</v>
      </c>
      <c r="B3" s="1" t="s">
        <v>9</v>
      </c>
      <c r="C3" s="1" t="s">
        <v>8</v>
      </c>
      <c r="D3">
        <v>562933</v>
      </c>
      <c r="E3">
        <v>6548381.6452835361</v>
      </c>
      <c r="F3">
        <v>11.632612842529282</v>
      </c>
    </row>
    <row r="4" spans="1:6" x14ac:dyDescent="0.2">
      <c r="A4">
        <v>3</v>
      </c>
      <c r="B4" s="1" t="s">
        <v>10</v>
      </c>
      <c r="C4" s="1" t="s">
        <v>8</v>
      </c>
      <c r="D4">
        <v>550021</v>
      </c>
      <c r="E4">
        <v>6284069.862833838</v>
      </c>
      <c r="F4">
        <v>11.425145335966878</v>
      </c>
    </row>
    <row r="5" spans="1:6" x14ac:dyDescent="0.2">
      <c r="A5">
        <v>5</v>
      </c>
      <c r="B5" s="1" t="s">
        <v>12</v>
      </c>
      <c r="C5" s="1" t="s">
        <v>8</v>
      </c>
      <c r="D5">
        <v>528859</v>
      </c>
      <c r="E5">
        <v>6299836.8537494978</v>
      </c>
      <c r="F5">
        <v>11.912129421546192</v>
      </c>
    </row>
    <row r="6" spans="1:6" x14ac:dyDescent="0.2">
      <c r="A6">
        <v>1</v>
      </c>
      <c r="B6" s="1" t="s">
        <v>6</v>
      </c>
      <c r="C6" s="1" t="s">
        <v>8</v>
      </c>
      <c r="D6">
        <v>502652</v>
      </c>
      <c r="E6">
        <v>5803432.6536150929</v>
      </c>
      <c r="F6">
        <v>11.545627300030823</v>
      </c>
    </row>
    <row r="7" spans="1:6" x14ac:dyDescent="0.2">
      <c r="A7">
        <v>6</v>
      </c>
      <c r="B7" s="1" t="s">
        <v>13</v>
      </c>
      <c r="C7" s="1" t="s">
        <v>8</v>
      </c>
      <c r="D7">
        <v>450056</v>
      </c>
      <c r="E7">
        <v>5856151.8377847588</v>
      </c>
      <c r="F7">
        <v>13.012051473116143</v>
      </c>
    </row>
    <row r="8" spans="1:6" x14ac:dyDescent="0.2">
      <c r="A8">
        <v>6</v>
      </c>
      <c r="B8" s="1" t="s">
        <v>13</v>
      </c>
      <c r="C8" s="1" t="s">
        <v>7</v>
      </c>
      <c r="D8">
        <v>413144</v>
      </c>
      <c r="E8">
        <v>8868975.2803518102</v>
      </c>
      <c r="F8">
        <v>21.467031544332752</v>
      </c>
    </row>
    <row r="9" spans="1:6" x14ac:dyDescent="0.2">
      <c r="A9">
        <v>7</v>
      </c>
      <c r="B9" s="1" t="s">
        <v>14</v>
      </c>
      <c r="C9" s="1" t="s">
        <v>8</v>
      </c>
      <c r="D9">
        <v>382175</v>
      </c>
      <c r="E9">
        <v>5038769.7218183437</v>
      </c>
      <c r="F9">
        <v>13.184456654198584</v>
      </c>
    </row>
    <row r="10" spans="1:6" x14ac:dyDescent="0.2">
      <c r="A10">
        <v>7</v>
      </c>
      <c r="B10" s="1" t="s">
        <v>14</v>
      </c>
      <c r="C10" s="1" t="s">
        <v>7</v>
      </c>
      <c r="D10">
        <v>330886</v>
      </c>
      <c r="E10">
        <v>7327810.6856665052</v>
      </c>
      <c r="F10">
        <v>22.146028196014655</v>
      </c>
    </row>
    <row r="11" spans="1:6" x14ac:dyDescent="0.2">
      <c r="A11">
        <v>5</v>
      </c>
      <c r="B11" s="1" t="s">
        <v>12</v>
      </c>
      <c r="C11" s="1" t="s">
        <v>7</v>
      </c>
      <c r="D11">
        <v>319282</v>
      </c>
      <c r="E11">
        <v>6011479.8994153775</v>
      </c>
      <c r="F11">
        <v>18.828120280552543</v>
      </c>
    </row>
    <row r="12" spans="1:6" x14ac:dyDescent="0.2">
      <c r="A12">
        <v>4</v>
      </c>
      <c r="B12" s="1" t="s">
        <v>11</v>
      </c>
      <c r="C12" s="1" t="s">
        <v>7</v>
      </c>
      <c r="D12">
        <v>257518</v>
      </c>
      <c r="E12">
        <v>4329037.9366670288</v>
      </c>
      <c r="F12">
        <v>16.810622700809375</v>
      </c>
    </row>
    <row r="13" spans="1:6" x14ac:dyDescent="0.2">
      <c r="A13">
        <v>1</v>
      </c>
      <c r="B13" s="1" t="s">
        <v>6</v>
      </c>
      <c r="C13" s="1" t="s">
        <v>7</v>
      </c>
      <c r="D13">
        <v>227736</v>
      </c>
      <c r="E13">
        <v>4322034.6279167254</v>
      </c>
      <c r="F13">
        <v>18.97826706325186</v>
      </c>
    </row>
    <row r="14" spans="1:6" x14ac:dyDescent="0.2">
      <c r="A14">
        <v>2</v>
      </c>
      <c r="B14" s="1" t="s">
        <v>9</v>
      </c>
      <c r="C14" s="1" t="s">
        <v>7</v>
      </c>
      <c r="D14">
        <v>225112</v>
      </c>
      <c r="E14">
        <v>3821282.8281001449</v>
      </c>
      <c r="F14">
        <v>16.975029443566513</v>
      </c>
    </row>
    <row r="15" spans="1:6" x14ac:dyDescent="0.2">
      <c r="A15">
        <v>3</v>
      </c>
      <c r="B15" s="1" t="s">
        <v>10</v>
      </c>
      <c r="C15" s="1" t="s">
        <v>7</v>
      </c>
      <c r="D15">
        <v>221096</v>
      </c>
      <c r="E15">
        <v>3483636.3390513696</v>
      </c>
      <c r="F15">
        <v>15.756216028563925</v>
      </c>
    </row>
    <row r="18" spans="1:4" x14ac:dyDescent="0.2">
      <c r="C18">
        <f>_xlfn.MAXIFS(day_summary_2025[total_rides],day_summary_2025[member_casual], "member")</f>
        <v>575857</v>
      </c>
      <c r="D18" t="str">
        <f>_xlfn.XLOOKUP(C18, day_summary_2025[total_rides], day_summary_2025[day_of_week])</f>
        <v>Thursday</v>
      </c>
    </row>
    <row r="19" spans="1:4" x14ac:dyDescent="0.2">
      <c r="C19">
        <f>_xlfn.MAXIFS(day_summary_2025[total_rides],day_summary_2025[member_casual], "casual")</f>
        <v>413144</v>
      </c>
      <c r="D19" t="str">
        <f>_xlfn.XLOOKUP(C19, day_summary_2025[total_rides], day_summary_2025[day_of_week])</f>
        <v>Saturday</v>
      </c>
    </row>
    <row r="22" spans="1:4" x14ac:dyDescent="0.2">
      <c r="A22" t="s">
        <v>7</v>
      </c>
      <c r="B22">
        <f>AVERAGEIFS(day_summary_2025[avg_ride_length], day_summary_2025[member_casual], "casual", day_summary_2025[day_of_week_num], "&gt;=5")</f>
        <v>20.813726673633315</v>
      </c>
      <c r="C22" t="s">
        <v>15</v>
      </c>
    </row>
    <row r="23" spans="1:4" x14ac:dyDescent="0.2">
      <c r="A23" t="s">
        <v>8</v>
      </c>
      <c r="B23">
        <f>AVERAGEIFS(day_summary_2025[avg_ride_length], day_summary_2025[member_casual], "member", day_summary_2025[day_of_week_num], "&gt;=5")</f>
        <v>12.702879182953639</v>
      </c>
      <c r="C23" t="s">
        <v>15</v>
      </c>
    </row>
    <row r="25" spans="1:4" x14ac:dyDescent="0.2">
      <c r="A25" t="s">
        <v>7</v>
      </c>
      <c r="B25">
        <f>AVERAGEIFS(day_summary_2025[avg_ride_length], day_summary_2025[member_casual], "casual", day_summary_2025[day_of_week_num], "&lt;5")</f>
        <v>17.130033809047919</v>
      </c>
      <c r="C25" t="s">
        <v>16</v>
      </c>
    </row>
    <row r="26" spans="1:4" x14ac:dyDescent="0.2">
      <c r="A26" t="s">
        <v>8</v>
      </c>
      <c r="B26">
        <f>AVERAGEIFS(day_summary_2025[avg_ride_length], day_summary_2025[member_casual], "member", day_summary_2025[day_of_week_num], "&lt;5")</f>
        <v>11.52954734783434</v>
      </c>
      <c r="C26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88EFF-7B3D-4F43-85F4-D092C55AE4C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253D18-BA21-F84F-8A8E-BE342F0A16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day_summary_2025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Seby Coronado Bacus</dc:creator>
  <cp:lastModifiedBy>James Seby Coronado Bacus</cp:lastModifiedBy>
  <dcterms:created xsi:type="dcterms:W3CDTF">2026-07-08T07:58:37Z</dcterms:created>
  <dcterms:modified xsi:type="dcterms:W3CDTF">2026-07-08T09:02:57Z</dcterms:modified>
</cp:coreProperties>
</file>