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sebybacus/Desktop/Google Data Analytics Professional Certificate/Capstone_Cyclistic/Cyclistic_Data/CyclisticCLEANED/cleanedExcel/"/>
    </mc:Choice>
  </mc:AlternateContent>
  <xr:revisionPtr revIDLastSave="0" documentId="13_ncr:1_{98517C5B-1FC3-0D44-81D0-EF988F851C2B}" xr6:coauthVersionLast="47" xr6:coauthVersionMax="47" xr10:uidLastSave="{00000000-0000-0000-0000-000000000000}"/>
  <bookViews>
    <workbookView xWindow="0" yWindow="780" windowWidth="41120" windowHeight="25800" xr2:uid="{658683C3-C021-5948-A74D-1B755F2F9ABF}"/>
  </bookViews>
  <sheets>
    <sheet name="hour_summary_2025" sheetId="2" r:id="rId1"/>
    <sheet name="Sheet1" sheetId="1" r:id="rId2"/>
  </sheets>
  <definedNames>
    <definedName name="ExternalData_1" localSheetId="0" hidden="1">hour_summary_2025!$A$1:$E$49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2" l="1"/>
  <c r="J3" i="2"/>
  <c r="I3" i="2"/>
  <c r="H3" i="2" s="1"/>
  <c r="I2" i="2"/>
  <c r="H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A66C4B-CE60-2041-AAB7-2A04B5345F1E}" keepAlive="1" name="Query - hour_summary_2025" description="Connection to the 'hour_summary_2025' query in the workbook." type="5" refreshedVersion="8" background="1" saveData="1">
    <dbPr connection="Provider=Microsoft.Mashup.OleDb.1;Data Source=$Workbook$;Location=hour_summary_2025;Extended Properties=&quot;&quot;" command="SELECT * FROM [hour_summary_2025]"/>
  </connection>
</connections>
</file>

<file path=xl/sharedStrings.xml><?xml version="1.0" encoding="utf-8"?>
<sst xmlns="http://schemas.openxmlformats.org/spreadsheetml/2006/main" count="56" uniqueCount="8">
  <si>
    <t>hour_of_day</t>
  </si>
  <si>
    <t>member_casual</t>
  </si>
  <si>
    <t>total_rides</t>
  </si>
  <si>
    <t>total_ride_minutes</t>
  </si>
  <si>
    <t>avg_ride_length</t>
  </si>
  <si>
    <t>casual</t>
  </si>
  <si>
    <t>member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</si>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</sst>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E07738-BADE-4E42-9394-81079F067D24}" autoFormatId="16" applyNumberFormats="0" applyBorderFormats="0" applyFontFormats="0" applyPatternFormats="0" applyAlignmentFormats="0" applyWidthHeightFormats="0">
  <queryTableRefresh nextId="6">
    <queryTableFields count="5">
      <queryTableField id="1" name="hour_of_day" tableColumnId="1"/>
      <queryTableField id="2" name="member_casual" tableColumnId="2"/>
      <queryTableField id="3" name="total_rides" tableColumnId="3"/>
      <queryTableField id="4" name="total_ride_minutes" tableColumnId="4"/>
      <queryTableField id="5" name="avg_ride_leng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6F1FB-DE91-3442-8B3A-97965334D60E}" name="hour_summary_2025" displayName="hour_summary_2025" ref="A1:E49" tableType="queryTable" totalsRowShown="0">
  <autoFilter ref="A1:E49" xr:uid="{EAD6F1FB-DE91-3442-8B3A-97965334D60E}"/>
  <sortState xmlns:xlrd2="http://schemas.microsoft.com/office/spreadsheetml/2017/richdata2" ref="A2:E49">
    <sortCondition descending="1" ref="C1:C49"/>
  </sortState>
  <tableColumns count="5">
    <tableColumn id="1" xr3:uid="{C30A4AC3-D498-1545-8BB5-8C00A1AFCC47}" uniqueName="1" name="hour_of_day" queryTableFieldId="1"/>
    <tableColumn id="2" xr3:uid="{CF175013-EFFF-AC41-9C03-19299B4F6321}" uniqueName="2" name="member_casual" queryTableFieldId="2" dataDxfId="0"/>
    <tableColumn id="3" xr3:uid="{956452EC-BB1C-BA4E-9968-3EE6D3093365}" uniqueName="3" name="total_rides" queryTableFieldId="3"/>
    <tableColumn id="4" xr3:uid="{8CCAE550-998B-D140-A3CC-FD63F9D04DD8}" uniqueName="4" name="total_ride_minutes" queryTableFieldId="4"/>
    <tableColumn id="5" xr3:uid="{5BF53782-0A22-5C42-8BA3-CD8BC87F383F}" uniqueName="5" name="avg_ride_length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A7AC-5314-5543-8BB6-7BF7DABD8D6F}">
  <dimension ref="A1:J49"/>
  <sheetViews>
    <sheetView tabSelected="1" zoomScale="142" workbookViewId="0">
      <selection activeCell="J13" sqref="J13"/>
    </sheetView>
  </sheetViews>
  <sheetFormatPr baseColWidth="10" defaultRowHeight="16" x14ac:dyDescent="0.2"/>
  <cols>
    <col min="1" max="1" width="13.5" bestFit="1" customWidth="1"/>
    <col min="2" max="2" width="17" bestFit="1" customWidth="1"/>
    <col min="3" max="3" width="12.5" bestFit="1" customWidth="1"/>
    <col min="4" max="4" width="19.33203125" bestFit="1" customWidth="1"/>
    <col min="5" max="5" width="16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7</v>
      </c>
    </row>
    <row r="2" spans="1:10" x14ac:dyDescent="0.2">
      <c r="A2">
        <v>17</v>
      </c>
      <c r="B2" t="s">
        <v>6</v>
      </c>
      <c r="C2">
        <v>381720</v>
      </c>
      <c r="D2">
        <v>4916757.9413491488</v>
      </c>
      <c r="E2">
        <v>12.880535317377001</v>
      </c>
      <c r="G2" t="s">
        <v>6</v>
      </c>
      <c r="H2">
        <f>_xlfn.XLOOKUP(I2,hour_summary_2025[total_rides],hour_summary_2025[hour_of_day])</f>
        <v>17</v>
      </c>
      <c r="I2">
        <f>_xlfn.MAXIFS(hour_summary_2025[total_rides],hour_summary_2025[member_casual], "member")</f>
        <v>381720</v>
      </c>
      <c r="J2">
        <f>STDEV(E2:E9)</f>
        <v>0.74606379716289173</v>
      </c>
    </row>
    <row r="3" spans="1:10" x14ac:dyDescent="0.2">
      <c r="A3">
        <v>16</v>
      </c>
      <c r="B3" t="s">
        <v>6</v>
      </c>
      <c r="C3">
        <v>334185</v>
      </c>
      <c r="D3">
        <v>4233347.0527343154</v>
      </c>
      <c r="E3">
        <v>12.667675247944448</v>
      </c>
      <c r="G3" t="s">
        <v>5</v>
      </c>
      <c r="H3">
        <f>_xlfn.XLOOKUP(I3,hour_summary_2025[total_rides],hour_summary_2025[hour_of_day])</f>
        <v>17</v>
      </c>
      <c r="I3">
        <f>_xlfn.MAXIFS(hour_summary_2025[total_rides],hour_summary_2025[member_casual], "casual")</f>
        <v>190219</v>
      </c>
      <c r="J3">
        <f>STDEV(E10,E13,E16,E17,E20,E21,E22,E23)</f>
        <v>2.0349718023488297</v>
      </c>
    </row>
    <row r="4" spans="1:10" x14ac:dyDescent="0.2">
      <c r="A4">
        <v>18</v>
      </c>
      <c r="B4" t="s">
        <v>6</v>
      </c>
      <c r="C4">
        <v>295816</v>
      </c>
      <c r="D4">
        <v>3682711.9279172542</v>
      </c>
      <c r="E4">
        <v>12.449333125717521</v>
      </c>
    </row>
    <row r="5" spans="1:10" x14ac:dyDescent="0.2">
      <c r="A5">
        <v>8</v>
      </c>
      <c r="B5" t="s">
        <v>6</v>
      </c>
      <c r="C5">
        <v>256538</v>
      </c>
      <c r="D5">
        <v>2801820.9877165477</v>
      </c>
      <c r="E5">
        <v>10.92166068074339</v>
      </c>
    </row>
    <row r="6" spans="1:10" x14ac:dyDescent="0.2">
      <c r="A6">
        <v>15</v>
      </c>
      <c r="B6" t="s">
        <v>6</v>
      </c>
      <c r="C6">
        <v>236970</v>
      </c>
      <c r="D6">
        <v>2939631.1473331731</v>
      </c>
      <c r="E6">
        <v>12.405077213711326</v>
      </c>
    </row>
    <row r="7" spans="1:10" x14ac:dyDescent="0.2">
      <c r="A7">
        <v>19</v>
      </c>
      <c r="B7" t="s">
        <v>6</v>
      </c>
      <c r="C7">
        <v>204694</v>
      </c>
      <c r="D7">
        <v>2483910.9771668753</v>
      </c>
      <c r="E7">
        <v>12.134752250514794</v>
      </c>
    </row>
    <row r="8" spans="1:10" x14ac:dyDescent="0.2">
      <c r="A8">
        <v>7</v>
      </c>
      <c r="B8" t="s">
        <v>6</v>
      </c>
      <c r="C8">
        <v>199688</v>
      </c>
      <c r="D8">
        <v>2198401.3626500526</v>
      </c>
      <c r="E8">
        <v>11.009181135822146</v>
      </c>
    </row>
    <row r="9" spans="1:10" x14ac:dyDescent="0.2">
      <c r="A9">
        <v>12</v>
      </c>
      <c r="B9" t="s">
        <v>6</v>
      </c>
      <c r="C9">
        <v>190575</v>
      </c>
      <c r="D9">
        <v>2213745.1726837438</v>
      </c>
      <c r="E9">
        <v>11.616136285891349</v>
      </c>
    </row>
    <row r="10" spans="1:10" x14ac:dyDescent="0.2">
      <c r="A10">
        <v>17</v>
      </c>
      <c r="B10" t="s">
        <v>5</v>
      </c>
      <c r="C10">
        <v>190219</v>
      </c>
      <c r="D10">
        <v>3510869.5595824244</v>
      </c>
      <c r="E10">
        <v>18.456986734145509</v>
      </c>
    </row>
    <row r="11" spans="1:10" x14ac:dyDescent="0.2">
      <c r="A11">
        <v>14</v>
      </c>
      <c r="B11" t="s">
        <v>6</v>
      </c>
      <c r="C11">
        <v>188233</v>
      </c>
      <c r="D11">
        <v>2330756.7537013055</v>
      </c>
      <c r="E11">
        <v>12.382296163272676</v>
      </c>
    </row>
    <row r="12" spans="1:10" x14ac:dyDescent="0.2">
      <c r="A12">
        <v>13</v>
      </c>
      <c r="B12" t="s">
        <v>6</v>
      </c>
      <c r="C12">
        <v>185299</v>
      </c>
      <c r="D12">
        <v>2202731.7911669533</v>
      </c>
      <c r="E12">
        <v>11.88744564820616</v>
      </c>
    </row>
    <row r="13" spans="1:10" x14ac:dyDescent="0.2">
      <c r="A13">
        <v>16</v>
      </c>
      <c r="B13" t="s">
        <v>5</v>
      </c>
      <c r="C13">
        <v>175326</v>
      </c>
      <c r="D13">
        <v>3359114.9711170434</v>
      </c>
      <c r="E13">
        <v>19.159251743135894</v>
      </c>
    </row>
    <row r="14" spans="1:10" x14ac:dyDescent="0.2">
      <c r="A14">
        <v>11</v>
      </c>
      <c r="B14" t="s">
        <v>6</v>
      </c>
      <c r="C14">
        <v>168758</v>
      </c>
      <c r="D14">
        <v>2030181.5074501396</v>
      </c>
      <c r="E14">
        <v>12.030134911827229</v>
      </c>
    </row>
    <row r="15" spans="1:10" x14ac:dyDescent="0.2">
      <c r="A15">
        <v>9</v>
      </c>
      <c r="B15" t="s">
        <v>6</v>
      </c>
      <c r="C15">
        <v>167126</v>
      </c>
      <c r="D15">
        <v>1795116.2128509681</v>
      </c>
      <c r="E15">
        <v>10.741094819782488</v>
      </c>
    </row>
    <row r="16" spans="1:10" x14ac:dyDescent="0.2">
      <c r="A16">
        <v>18</v>
      </c>
      <c r="B16" t="s">
        <v>5</v>
      </c>
      <c r="C16">
        <v>163419</v>
      </c>
      <c r="D16">
        <v>2929002.8667995455</v>
      </c>
      <c r="E16">
        <v>17.923270040812547</v>
      </c>
    </row>
    <row r="17" spans="1:5" x14ac:dyDescent="0.2">
      <c r="A17">
        <v>15</v>
      </c>
      <c r="B17" t="s">
        <v>5</v>
      </c>
      <c r="C17">
        <v>153911</v>
      </c>
      <c r="D17">
        <v>3173783.1389506063</v>
      </c>
      <c r="E17">
        <v>20.62089869437926</v>
      </c>
    </row>
    <row r="18" spans="1:5" x14ac:dyDescent="0.2">
      <c r="A18">
        <v>10</v>
      </c>
      <c r="B18" t="s">
        <v>6</v>
      </c>
      <c r="C18">
        <v>143699</v>
      </c>
      <c r="D18">
        <v>1674801.7750340421</v>
      </c>
      <c r="E18">
        <v>11.654929923200871</v>
      </c>
    </row>
    <row r="19" spans="1:5" x14ac:dyDescent="0.2">
      <c r="A19">
        <v>20</v>
      </c>
      <c r="B19" t="s">
        <v>6</v>
      </c>
      <c r="C19">
        <v>141458</v>
      </c>
      <c r="D19">
        <v>1695895.6930843075</v>
      </c>
      <c r="E19">
        <v>11.988687052583153</v>
      </c>
    </row>
    <row r="20" spans="1:5" x14ac:dyDescent="0.2">
      <c r="A20">
        <v>14</v>
      </c>
      <c r="B20" t="s">
        <v>5</v>
      </c>
      <c r="C20">
        <v>138529</v>
      </c>
      <c r="D20">
        <v>3065285.8738338668</v>
      </c>
      <c r="E20">
        <v>22.127394797001831</v>
      </c>
    </row>
    <row r="21" spans="1:5" x14ac:dyDescent="0.2">
      <c r="A21">
        <v>13</v>
      </c>
      <c r="B21" t="s">
        <v>5</v>
      </c>
      <c r="C21">
        <v>131674</v>
      </c>
      <c r="D21">
        <v>2953596.3194511333</v>
      </c>
      <c r="E21">
        <v>22.431127781119532</v>
      </c>
    </row>
    <row r="22" spans="1:5" x14ac:dyDescent="0.2">
      <c r="A22">
        <v>12</v>
      </c>
      <c r="B22" t="s">
        <v>5</v>
      </c>
      <c r="C22">
        <v>128516</v>
      </c>
      <c r="D22">
        <v>2872201.9423998394</v>
      </c>
      <c r="E22">
        <v>22.348983335925794</v>
      </c>
    </row>
    <row r="23" spans="1:5" x14ac:dyDescent="0.2">
      <c r="A23">
        <v>19</v>
      </c>
      <c r="B23" t="s">
        <v>5</v>
      </c>
      <c r="C23">
        <v>121493</v>
      </c>
      <c r="D23">
        <v>2149628.44226741</v>
      </c>
      <c r="E23">
        <v>17.693434537524055</v>
      </c>
    </row>
    <row r="24" spans="1:5" x14ac:dyDescent="0.2">
      <c r="A24">
        <v>21</v>
      </c>
      <c r="B24" t="s">
        <v>6</v>
      </c>
      <c r="C24">
        <v>110585</v>
      </c>
      <c r="D24">
        <v>1319236.1545490623</v>
      </c>
      <c r="E24">
        <v>11.929612104255209</v>
      </c>
    </row>
    <row r="25" spans="1:5" x14ac:dyDescent="0.2">
      <c r="A25">
        <v>11</v>
      </c>
      <c r="B25" t="s">
        <v>5</v>
      </c>
      <c r="C25">
        <v>109330</v>
      </c>
      <c r="D25">
        <v>2546478.3909327509</v>
      </c>
      <c r="E25">
        <v>23.29167100459847</v>
      </c>
    </row>
    <row r="26" spans="1:5" x14ac:dyDescent="0.2">
      <c r="A26">
        <v>6</v>
      </c>
      <c r="B26" t="s">
        <v>6</v>
      </c>
      <c r="C26">
        <v>100906</v>
      </c>
      <c r="D26">
        <v>1107386.5062663236</v>
      </c>
      <c r="E26">
        <v>10.974436666465063</v>
      </c>
    </row>
    <row r="27" spans="1:5" x14ac:dyDescent="0.2">
      <c r="A27">
        <v>20</v>
      </c>
      <c r="B27" t="s">
        <v>5</v>
      </c>
      <c r="C27">
        <v>87724</v>
      </c>
      <c r="D27">
        <v>1489259.4444000602</v>
      </c>
      <c r="E27">
        <v>16.976647717843012</v>
      </c>
    </row>
    <row r="28" spans="1:5" x14ac:dyDescent="0.2">
      <c r="A28">
        <v>10</v>
      </c>
      <c r="B28" t="s">
        <v>5</v>
      </c>
      <c r="C28">
        <v>85418</v>
      </c>
      <c r="D28">
        <v>1983167.8292329153</v>
      </c>
      <c r="E28">
        <v>23.217212171122192</v>
      </c>
    </row>
    <row r="29" spans="1:5" x14ac:dyDescent="0.2">
      <c r="A29">
        <v>22</v>
      </c>
      <c r="B29" t="s">
        <v>6</v>
      </c>
      <c r="C29">
        <v>80629</v>
      </c>
      <c r="D29">
        <v>957231.62258401711</v>
      </c>
      <c r="E29">
        <v>11.872051279118148</v>
      </c>
    </row>
    <row r="30" spans="1:5" x14ac:dyDescent="0.2">
      <c r="A30">
        <v>21</v>
      </c>
      <c r="B30" t="s">
        <v>5</v>
      </c>
      <c r="C30">
        <v>74873</v>
      </c>
      <c r="D30">
        <v>1233345.6004174671</v>
      </c>
      <c r="E30">
        <v>16.472501441340231</v>
      </c>
    </row>
    <row r="31" spans="1:5" x14ac:dyDescent="0.2">
      <c r="A31">
        <v>9</v>
      </c>
      <c r="B31" t="s">
        <v>5</v>
      </c>
      <c r="C31">
        <v>70689</v>
      </c>
      <c r="D31">
        <v>1395266.6878667553</v>
      </c>
      <c r="E31">
        <v>19.738101937596447</v>
      </c>
    </row>
    <row r="32" spans="1:5" x14ac:dyDescent="0.2">
      <c r="A32">
        <v>8</v>
      </c>
      <c r="B32" t="s">
        <v>5</v>
      </c>
      <c r="C32">
        <v>70313</v>
      </c>
      <c r="D32">
        <v>1041073.3701668978</v>
      </c>
      <c r="E32">
        <v>14.806271531109436</v>
      </c>
    </row>
    <row r="33" spans="1:5" x14ac:dyDescent="0.2">
      <c r="A33">
        <v>22</v>
      </c>
      <c r="B33" t="s">
        <v>5</v>
      </c>
      <c r="C33">
        <v>63226</v>
      </c>
      <c r="D33">
        <v>1030375.8736997684</v>
      </c>
      <c r="E33">
        <v>16.296711379808439</v>
      </c>
    </row>
    <row r="34" spans="1:5" x14ac:dyDescent="0.2">
      <c r="A34">
        <v>23</v>
      </c>
      <c r="B34" t="s">
        <v>6</v>
      </c>
      <c r="C34">
        <v>50221</v>
      </c>
      <c r="D34">
        <v>606660.48499992688</v>
      </c>
      <c r="E34">
        <v>12.079816909259611</v>
      </c>
    </row>
    <row r="35" spans="1:5" x14ac:dyDescent="0.2">
      <c r="A35">
        <v>7</v>
      </c>
      <c r="B35" t="s">
        <v>5</v>
      </c>
      <c r="C35">
        <v>49547</v>
      </c>
      <c r="D35">
        <v>673831.62273335853</v>
      </c>
      <c r="E35">
        <v>13.599847069113338</v>
      </c>
    </row>
    <row r="36" spans="1:5" x14ac:dyDescent="0.2">
      <c r="A36">
        <v>23</v>
      </c>
      <c r="B36" t="s">
        <v>5</v>
      </c>
      <c r="C36">
        <v>45809</v>
      </c>
      <c r="D36">
        <v>763851.20189987018</v>
      </c>
      <c r="E36">
        <v>16.67469715339497</v>
      </c>
    </row>
    <row r="37" spans="1:5" x14ac:dyDescent="0.2">
      <c r="A37">
        <v>0</v>
      </c>
      <c r="B37" t="s">
        <v>5</v>
      </c>
      <c r="C37">
        <v>38847</v>
      </c>
      <c r="D37">
        <v>601687.00359984639</v>
      </c>
      <c r="E37">
        <v>15.488634993689253</v>
      </c>
    </row>
    <row r="38" spans="1:5" x14ac:dyDescent="0.2">
      <c r="A38">
        <v>5</v>
      </c>
      <c r="B38" t="s">
        <v>6</v>
      </c>
      <c r="C38">
        <v>34201</v>
      </c>
      <c r="D38">
        <v>366137.92091648577</v>
      </c>
      <c r="E38">
        <v>10.705474135741229</v>
      </c>
    </row>
    <row r="39" spans="1:5" x14ac:dyDescent="0.2">
      <c r="A39">
        <v>0</v>
      </c>
      <c r="B39" t="s">
        <v>6</v>
      </c>
      <c r="C39">
        <v>32451</v>
      </c>
      <c r="D39">
        <v>360383.01993292174</v>
      </c>
      <c r="E39">
        <v>11.105451910046586</v>
      </c>
    </row>
    <row r="40" spans="1:5" x14ac:dyDescent="0.2">
      <c r="A40">
        <v>6</v>
      </c>
      <c r="B40" t="s">
        <v>5</v>
      </c>
      <c r="C40">
        <v>26523</v>
      </c>
      <c r="D40">
        <v>345784.95788336196</v>
      </c>
      <c r="E40">
        <v>13.03717369390197</v>
      </c>
    </row>
    <row r="41" spans="1:5" x14ac:dyDescent="0.2">
      <c r="A41">
        <v>1</v>
      </c>
      <c r="B41" t="s">
        <v>5</v>
      </c>
      <c r="C41">
        <v>24892</v>
      </c>
      <c r="D41">
        <v>393828.86418349348</v>
      </c>
      <c r="E41">
        <v>15.821503462296862</v>
      </c>
    </row>
    <row r="42" spans="1:5" x14ac:dyDescent="0.2">
      <c r="A42">
        <v>1</v>
      </c>
      <c r="B42" t="s">
        <v>6</v>
      </c>
      <c r="C42">
        <v>19975</v>
      </c>
      <c r="D42">
        <v>221979.76486640374</v>
      </c>
      <c r="E42">
        <v>11.11287934249831</v>
      </c>
    </row>
    <row r="43" spans="1:5" x14ac:dyDescent="0.2">
      <c r="A43">
        <v>2</v>
      </c>
      <c r="B43" t="s">
        <v>5</v>
      </c>
      <c r="C43">
        <v>16634</v>
      </c>
      <c r="D43">
        <v>257014.45130015214</v>
      </c>
      <c r="E43">
        <v>15.451151334624994</v>
      </c>
    </row>
    <row r="44" spans="1:5" x14ac:dyDescent="0.2">
      <c r="A44">
        <v>2</v>
      </c>
      <c r="B44" t="s">
        <v>6</v>
      </c>
      <c r="C44">
        <v>12007</v>
      </c>
      <c r="D44">
        <v>134277.69520045517</v>
      </c>
      <c r="E44">
        <v>11.183284350833278</v>
      </c>
    </row>
    <row r="45" spans="1:5" x14ac:dyDescent="0.2">
      <c r="A45">
        <v>5</v>
      </c>
      <c r="B45" t="s">
        <v>5</v>
      </c>
      <c r="C45">
        <v>11408</v>
      </c>
      <c r="D45">
        <v>159678.85718350808</v>
      </c>
      <c r="E45">
        <v>13.997094774150428</v>
      </c>
    </row>
    <row r="46" spans="1:5" x14ac:dyDescent="0.2">
      <c r="A46">
        <v>3</v>
      </c>
      <c r="B46" t="s">
        <v>5</v>
      </c>
      <c r="C46">
        <v>9183</v>
      </c>
      <c r="D46">
        <v>137200.34075012605</v>
      </c>
      <c r="E46">
        <v>14.940688309934233</v>
      </c>
    </row>
    <row r="47" spans="1:5" x14ac:dyDescent="0.2">
      <c r="A47">
        <v>4</v>
      </c>
      <c r="B47" t="s">
        <v>6</v>
      </c>
      <c r="C47">
        <v>8878</v>
      </c>
      <c r="D47">
        <v>95301.48479978244</v>
      </c>
      <c r="E47">
        <v>10.734566884408926</v>
      </c>
    </row>
    <row r="48" spans="1:5" x14ac:dyDescent="0.2">
      <c r="A48">
        <v>3</v>
      </c>
      <c r="B48" t="s">
        <v>6</v>
      </c>
      <c r="C48">
        <v>7941</v>
      </c>
      <c r="D48">
        <v>93118.054950106147</v>
      </c>
      <c r="E48">
        <v>11.726237873077213</v>
      </c>
    </row>
    <row r="49" spans="1:5" x14ac:dyDescent="0.2">
      <c r="A49">
        <v>4</v>
      </c>
      <c r="B49" t="s">
        <v>5</v>
      </c>
      <c r="C49">
        <v>7271</v>
      </c>
      <c r="D49">
        <v>98929.986516761783</v>
      </c>
      <c r="E49">
        <v>13.606104595896271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CE99-BCD3-3A4D-8E09-AD1C748C591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BF7003-1364-FF4F-9E0A-A190A0F6FF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hour_summary_2025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Seby Coronado Bacus</dc:creator>
  <cp:lastModifiedBy>James Seby Coronado Bacus</cp:lastModifiedBy>
  <dcterms:created xsi:type="dcterms:W3CDTF">2026-07-08T09:44:14Z</dcterms:created>
  <dcterms:modified xsi:type="dcterms:W3CDTF">2026-07-09T06:52:30Z</dcterms:modified>
</cp:coreProperties>
</file>