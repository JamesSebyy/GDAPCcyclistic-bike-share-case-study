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ssebybacus/Desktop/Google Data Analytics Professional Certificate/Capstone_Cyclistic/Cyclistic_Data/CyclisticCLEANED/cleanedExcel/"/>
    </mc:Choice>
  </mc:AlternateContent>
  <xr:revisionPtr revIDLastSave="0" documentId="13_ncr:1_{6CEF697D-4DA0-D54D-914D-2E085381AA95}" xr6:coauthVersionLast="47" xr6:coauthVersionMax="47" xr10:uidLastSave="{00000000-0000-0000-0000-000000000000}"/>
  <bookViews>
    <workbookView xWindow="10760" yWindow="5980" windowWidth="28040" windowHeight="17180" xr2:uid="{2929AC2A-F336-2D40-95ED-19F567246B96}"/>
  </bookViews>
  <sheets>
    <sheet name="monthly_summary_2025" sheetId="2" r:id="rId1"/>
  </sheets>
  <definedNames>
    <definedName name="ExternalData_1" localSheetId="0" hidden="1">monthly_summary_2025!$A$1:$E$25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8" i="2" l="1"/>
  <c r="B29" i="2"/>
  <c r="B2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D8A8BDD-5C2B-AD40-B3A0-95BA9FA5A108}" keepAlive="1" name="Query - monthly_summary_2025" description="Connection to the 'monthly_summary_2025' query in the workbook." type="5" refreshedVersion="8" background="1" saveData="1">
    <dbPr connection="Provider=Microsoft.Mashup.OleDb.1;Data Source=$Workbook$;Location=monthly_summary_2025;Extended Properties=&quot;&quot;" command="SELECT * FROM [monthly_summary_2025]"/>
  </connection>
</connections>
</file>

<file path=xl/sharedStrings.xml><?xml version="1.0" encoding="utf-8"?>
<sst xmlns="http://schemas.openxmlformats.org/spreadsheetml/2006/main" count="29" uniqueCount="7">
  <si>
    <t>month</t>
  </si>
  <si>
    <t>member_casual</t>
  </si>
  <si>
    <t>total_rides</t>
  </si>
  <si>
    <t>total_ride_minutes</t>
  </si>
  <si>
    <t>avg_ride_length</t>
  </si>
  <si>
    <t>casual</t>
  </si>
  <si>
    <t>member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</si>
</sst>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0.0%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">
    <xf numFmtId="0" fontId="0" fillId="0" borderId="0" xfId="0"/>
    <xf numFmtId="22" fontId="0" fillId="0" borderId="0" xfId="0" applyNumberFormat="1"/>
    <xf numFmtId="0" fontId="0" fillId="0" borderId="0" xfId="0" applyNumberFormat="1"/>
    <xf numFmtId="41" fontId="0" fillId="0" borderId="0" xfId="1" applyFont="1"/>
    <xf numFmtId="164" fontId="0" fillId="0" borderId="0" xfId="2" applyNumberFormat="1" applyFont="1"/>
  </cellXfs>
  <cellStyles count="3">
    <cellStyle name="Comma [0]" xfId="1" builtinId="6"/>
    <cellStyle name="Normal" xfId="0" builtinId="0"/>
    <cellStyle name="Percent" xfId="2" builtinId="5"/>
  </cellStyles>
  <dxfs count="2">
    <dxf>
      <numFmt numFmtId="0" formatCode="General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F0547A5-A691-0444-9B58-476E0341E4BD}" autoFormatId="16" applyNumberFormats="0" applyBorderFormats="0" applyFontFormats="0" applyPatternFormats="0" applyAlignmentFormats="0" applyWidthHeightFormats="0">
  <queryTableRefresh nextId="6">
    <queryTableFields count="5">
      <queryTableField id="1" name="month" tableColumnId="1"/>
      <queryTableField id="2" name="member_casual" tableColumnId="2"/>
      <queryTableField id="3" name="total_rides" tableColumnId="3"/>
      <queryTableField id="4" name="total_ride_minutes" tableColumnId="4"/>
      <queryTableField id="5" name="avg_ride_length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30C594-546B-BC48-A27C-DD4B6C244D52}" name="monthly_summary_2025" displayName="monthly_summary_2025" ref="A1:E25" tableType="queryTable" totalsRowShown="0">
  <autoFilter ref="A1:E25" xr:uid="{3F30C594-546B-BC48-A27C-DD4B6C244D52}"/>
  <sortState xmlns:xlrd2="http://schemas.microsoft.com/office/spreadsheetml/2017/richdata2" ref="A2:E25">
    <sortCondition descending="1" ref="C1:C25"/>
  </sortState>
  <tableColumns count="5">
    <tableColumn id="1" xr3:uid="{2F6A6022-827E-8F4C-9614-F0A66A7CE4D5}" uniqueName="1" name="month" queryTableFieldId="1" dataDxfId="1"/>
    <tableColumn id="2" xr3:uid="{BAD8C49A-29D2-C540-ADC6-C982A34B9E19}" uniqueName="2" name="member_casual" queryTableFieldId="2" dataDxfId="0"/>
    <tableColumn id="3" xr3:uid="{E16B6E22-6F5B-9E44-9BB4-AFCC48C8ECED}" uniqueName="3" name="total_rides" queryTableFieldId="3"/>
    <tableColumn id="4" xr3:uid="{AFEC8541-CA6C-814F-ADF8-23E11652D0EF}" uniqueName="4" name="total_ride_minutes" queryTableFieldId="4"/>
    <tableColumn id="5" xr3:uid="{361C9E74-CD43-3D4A-9DB3-6E7773DA8C14}" uniqueName="5" name="avg_ride_length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D8511-970F-0C4D-A1AA-54726CE1DD9F}">
  <dimension ref="A1:E29"/>
  <sheetViews>
    <sheetView tabSelected="1" zoomScale="110" workbookViewId="0">
      <selection activeCell="H11" sqref="H11"/>
    </sheetView>
  </sheetViews>
  <sheetFormatPr baseColWidth="10" defaultRowHeight="16" x14ac:dyDescent="0.2"/>
  <cols>
    <col min="1" max="1" width="22" customWidth="1"/>
    <col min="2" max="2" width="17" bestFit="1" customWidth="1"/>
    <col min="3" max="3" width="12.5" bestFit="1" customWidth="1"/>
    <col min="4" max="4" width="19.33203125" bestFit="1" customWidth="1"/>
    <col min="5" max="5" width="16.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>
        <v>45870.291666666664</v>
      </c>
      <c r="B2" s="2" t="s">
        <v>6</v>
      </c>
      <c r="C2">
        <v>452355</v>
      </c>
      <c r="D2">
        <v>5798705.9411162343</v>
      </c>
      <c r="E2">
        <v>12.818927481991432</v>
      </c>
    </row>
    <row r="3" spans="1:5" x14ac:dyDescent="0.2">
      <c r="A3" s="1">
        <v>45901.291666666664</v>
      </c>
      <c r="B3" s="2" t="s">
        <v>6</v>
      </c>
      <c r="C3">
        <v>449202</v>
      </c>
      <c r="D3">
        <v>5566228.2770173904</v>
      </c>
      <c r="E3">
        <v>12.391370200972815</v>
      </c>
    </row>
    <row r="4" spans="1:5" x14ac:dyDescent="0.2">
      <c r="A4" s="1">
        <v>45839.291666666664</v>
      </c>
      <c r="B4" s="2" t="s">
        <v>6</v>
      </c>
      <c r="C4">
        <v>439965</v>
      </c>
      <c r="D4">
        <v>5665397.7530337172</v>
      </c>
      <c r="E4">
        <v>12.87692828528114</v>
      </c>
    </row>
    <row r="5" spans="1:5" x14ac:dyDescent="0.2">
      <c r="A5" s="1">
        <v>45931.291666666664</v>
      </c>
      <c r="B5" s="2" t="s">
        <v>6</v>
      </c>
      <c r="C5">
        <v>421921</v>
      </c>
      <c r="D5">
        <v>5022193.820499599</v>
      </c>
      <c r="E5">
        <v>11.903161540903627</v>
      </c>
    </row>
    <row r="6" spans="1:5" x14ac:dyDescent="0.2">
      <c r="A6" s="1">
        <v>45809.291666666664</v>
      </c>
      <c r="B6" s="2" t="s">
        <v>6</v>
      </c>
      <c r="C6">
        <v>386709</v>
      </c>
      <c r="D6">
        <v>4877900.5832190281</v>
      </c>
      <c r="E6">
        <v>12.613879126731025</v>
      </c>
    </row>
    <row r="7" spans="1:5" x14ac:dyDescent="0.2">
      <c r="A7" s="1">
        <v>45870.291666666664</v>
      </c>
      <c r="B7" s="2" t="s">
        <v>5</v>
      </c>
      <c r="C7">
        <v>337246</v>
      </c>
      <c r="D7">
        <v>7029202.5044665616</v>
      </c>
      <c r="E7">
        <v>20.842952931885215</v>
      </c>
    </row>
    <row r="8" spans="1:5" x14ac:dyDescent="0.2">
      <c r="A8" s="1">
        <v>45839.291666666664</v>
      </c>
      <c r="B8" s="2" t="s">
        <v>5</v>
      </c>
      <c r="C8">
        <v>322505</v>
      </c>
      <c r="D8">
        <v>6618149.4717836222</v>
      </c>
      <c r="E8">
        <v>20.521075554746815</v>
      </c>
    </row>
    <row r="9" spans="1:5" x14ac:dyDescent="0.2">
      <c r="A9" s="1">
        <v>45778.291666666664</v>
      </c>
      <c r="B9" s="2" t="s">
        <v>6</v>
      </c>
      <c r="C9">
        <v>319750</v>
      </c>
      <c r="D9">
        <v>3738558.9024997475</v>
      </c>
      <c r="E9">
        <v>11.692131047692721</v>
      </c>
    </row>
    <row r="10" spans="1:5" x14ac:dyDescent="0.2">
      <c r="A10" s="1">
        <v>45809.291666666664</v>
      </c>
      <c r="B10" s="2" t="s">
        <v>5</v>
      </c>
      <c r="C10">
        <v>291138</v>
      </c>
      <c r="D10">
        <v>6110833.329184154</v>
      </c>
      <c r="E10">
        <v>20.989473477128215</v>
      </c>
    </row>
    <row r="11" spans="1:5" x14ac:dyDescent="0.2">
      <c r="A11" s="1">
        <v>45901.291666666664</v>
      </c>
      <c r="B11" s="2" t="s">
        <v>5</v>
      </c>
      <c r="C11">
        <v>264772</v>
      </c>
      <c r="D11">
        <v>4984307.2952339295</v>
      </c>
      <c r="E11">
        <v>18.824903295038485</v>
      </c>
    </row>
    <row r="12" spans="1:5" x14ac:dyDescent="0.2">
      <c r="A12" s="1">
        <v>45748.291666666664</v>
      </c>
      <c r="B12" s="2" t="s">
        <v>6</v>
      </c>
      <c r="C12">
        <v>262096</v>
      </c>
      <c r="D12">
        <v>2909045.8939008955</v>
      </c>
      <c r="E12">
        <v>11.099161734253462</v>
      </c>
    </row>
    <row r="13" spans="1:5" x14ac:dyDescent="0.2">
      <c r="A13" s="1">
        <v>45962.291666666664</v>
      </c>
      <c r="B13" s="2" t="s">
        <v>6</v>
      </c>
      <c r="C13">
        <v>257292</v>
      </c>
      <c r="D13">
        <v>2945610.7286669179</v>
      </c>
      <c r="E13">
        <v>11.448512696340803</v>
      </c>
    </row>
    <row r="14" spans="1:5" x14ac:dyDescent="0.2">
      <c r="A14" s="1">
        <v>45931.291666666664</v>
      </c>
      <c r="B14" s="2" t="s">
        <v>5</v>
      </c>
      <c r="C14">
        <v>223569</v>
      </c>
      <c r="D14">
        <v>3882745.235183124</v>
      </c>
      <c r="E14">
        <v>17.367100247275445</v>
      </c>
    </row>
    <row r="15" spans="1:5" x14ac:dyDescent="0.2">
      <c r="A15" s="1">
        <v>45717.291666666664</v>
      </c>
      <c r="B15" s="2" t="s">
        <v>6</v>
      </c>
      <c r="C15">
        <v>212226</v>
      </c>
      <c r="D15">
        <v>2321391.8238494233</v>
      </c>
      <c r="E15">
        <v>10.938300791841826</v>
      </c>
    </row>
    <row r="16" spans="1:5" x14ac:dyDescent="0.2">
      <c r="A16" s="1">
        <v>45778.291666666664</v>
      </c>
      <c r="B16" s="2" t="s">
        <v>5</v>
      </c>
      <c r="C16">
        <v>182263</v>
      </c>
      <c r="D16">
        <v>3661739.1684500934</v>
      </c>
      <c r="E16">
        <v>20.09041422806655</v>
      </c>
    </row>
    <row r="17" spans="1:5" x14ac:dyDescent="0.2">
      <c r="A17" s="1">
        <v>45689.291666666664</v>
      </c>
      <c r="B17" s="2" t="s">
        <v>6</v>
      </c>
      <c r="C17">
        <v>124123</v>
      </c>
      <c r="D17">
        <v>1216676.1429175537</v>
      </c>
      <c r="E17">
        <v>9.8021812469691643</v>
      </c>
    </row>
    <row r="18" spans="1:5" x14ac:dyDescent="0.2">
      <c r="A18" s="1">
        <v>45658.291666666664</v>
      </c>
      <c r="B18" s="2" t="s">
        <v>6</v>
      </c>
      <c r="C18">
        <v>114506</v>
      </c>
      <c r="D18">
        <v>1121946.4782668152</v>
      </c>
      <c r="E18">
        <v>9.7981457588843828</v>
      </c>
    </row>
    <row r="19" spans="1:5" x14ac:dyDescent="0.2">
      <c r="A19" s="1">
        <v>45992.291666666664</v>
      </c>
      <c r="B19" s="2" t="s">
        <v>6</v>
      </c>
      <c r="C19">
        <v>112408</v>
      </c>
      <c r="D19">
        <v>1277866.6669169902</v>
      </c>
      <c r="E19">
        <v>11.36811140592298</v>
      </c>
    </row>
    <row r="20" spans="1:5" x14ac:dyDescent="0.2">
      <c r="A20" s="1">
        <v>45748.291666666664</v>
      </c>
      <c r="B20" s="2" t="s">
        <v>5</v>
      </c>
      <c r="C20">
        <v>108971</v>
      </c>
      <c r="D20">
        <v>1965019.8396339377</v>
      </c>
      <c r="E20">
        <v>18.032502589073587</v>
      </c>
    </row>
    <row r="21" spans="1:5" x14ac:dyDescent="0.2">
      <c r="A21" s="1">
        <v>45962.291666666664</v>
      </c>
      <c r="B21" s="2" t="s">
        <v>5</v>
      </c>
      <c r="C21">
        <v>98871</v>
      </c>
      <c r="D21">
        <v>1466495.7709006153</v>
      </c>
      <c r="E21">
        <v>14.83241568205657</v>
      </c>
    </row>
    <row r="22" spans="1:5" x14ac:dyDescent="0.2">
      <c r="A22" s="1">
        <v>45717.291666666664</v>
      </c>
      <c r="B22" s="2" t="s">
        <v>5</v>
      </c>
      <c r="C22">
        <v>85662</v>
      </c>
      <c r="D22">
        <v>1483060.2230330389</v>
      </c>
      <c r="E22">
        <v>17.312930156114017</v>
      </c>
    </row>
    <row r="23" spans="1:5" x14ac:dyDescent="0.2">
      <c r="A23" s="1">
        <v>45992.291666666664</v>
      </c>
      <c r="B23" s="2" t="s">
        <v>5</v>
      </c>
      <c r="C23">
        <v>27992</v>
      </c>
      <c r="D23">
        <v>347657.34756645362</v>
      </c>
      <c r="E23">
        <v>12.419882379481766</v>
      </c>
    </row>
    <row r="24" spans="1:5" x14ac:dyDescent="0.2">
      <c r="A24" s="1">
        <v>45689.291666666664</v>
      </c>
      <c r="B24" s="2" t="s">
        <v>5</v>
      </c>
      <c r="C24">
        <v>27709</v>
      </c>
      <c r="D24">
        <v>334582.39424969355</v>
      </c>
      <c r="E24">
        <v>12.074863555151524</v>
      </c>
    </row>
    <row r="25" spans="1:5" x14ac:dyDescent="0.2">
      <c r="A25" s="1">
        <v>45658.291666666664</v>
      </c>
      <c r="B25" s="2" t="s">
        <v>5</v>
      </c>
      <c r="C25">
        <v>24076</v>
      </c>
      <c r="D25">
        <v>280465.01748373907</v>
      </c>
      <c r="E25">
        <v>11.649153409359489</v>
      </c>
    </row>
    <row r="28" spans="1:5" x14ac:dyDescent="0.2">
      <c r="B28" s="3">
        <f>SUMIF(monthly_summary_2025[member_casual], "member", monthly_summary_2025[total_rides])</f>
        <v>3552553</v>
      </c>
      <c r="C28" s="4">
        <f>(AVERAGE(C17:C19))/(AVERAGE(C2:C4))</f>
        <v>0.26167069939963711</v>
      </c>
    </row>
    <row r="29" spans="1:5" x14ac:dyDescent="0.2">
      <c r="B29" s="3">
        <f>SUMIF(monthly_summary_2025[member_casual], "casual", monthly_summary_2025[total_rides])</f>
        <v>1994774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8C561CD-DCF4-C240-8BB0-E6CE13AFD9F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monthly_summary_2025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Seby Coronado Bacus</dc:creator>
  <cp:lastModifiedBy>James Seby Coronado Bacus</cp:lastModifiedBy>
  <dcterms:created xsi:type="dcterms:W3CDTF">2026-07-07T15:07:56Z</dcterms:created>
  <dcterms:modified xsi:type="dcterms:W3CDTF">2026-07-07T17:05:34Z</dcterms:modified>
</cp:coreProperties>
</file>